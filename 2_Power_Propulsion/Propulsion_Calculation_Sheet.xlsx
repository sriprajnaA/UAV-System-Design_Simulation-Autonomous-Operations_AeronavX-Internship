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Selection" sheetId="1" state="visible" r:id="rId1"/>
    <sheet xmlns:r="http://schemas.openxmlformats.org/officeDocument/2006/relationships" name="Propulsion Calculations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 g&quot;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2" fontId="4" fillId="3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4" customWidth="1" min="4" max="4"/>
    <col width="10" customWidth="1" min="5" max="5"/>
    <col width="8" customWidth="1" min="6" max="6"/>
    <col width="16" customWidth="1" min="7" max="7"/>
  </cols>
  <sheetData>
    <row r="1" ht="30" customHeight="1">
      <c r="A1" s="1" t="inlineStr">
        <is>
          <t>AeroNavX — Power &amp; Propulsion Component Selection</t>
        </is>
      </c>
    </row>
    <row r="2" ht="18" customHeight="1">
      <c r="A2" s="2" t="inlineStr">
        <is>
          <t>Unlox Drone Engineering Program  |  April 2026</t>
        </is>
      </c>
    </row>
    <row r="4" ht="30" customHeight="1">
      <c r="A4" s="3" t="inlineStr">
        <is>
          <t>Component</t>
        </is>
      </c>
      <c r="B4" s="3" t="inlineStr">
        <is>
          <t>Model / Specification</t>
        </is>
      </c>
      <c r="C4" s="3" t="inlineStr">
        <is>
          <t>Key Rating</t>
        </is>
      </c>
      <c r="D4" s="3" t="inlineStr">
        <is>
          <t>Value</t>
        </is>
      </c>
      <c r="E4" s="3" t="inlineStr">
        <is>
          <t>Unit</t>
        </is>
      </c>
      <c r="F4" s="3" t="inlineStr">
        <is>
          <t>Qty</t>
        </is>
      </c>
      <c r="G4" s="3" t="inlineStr">
        <is>
          <t>Total Weight (g)</t>
        </is>
      </c>
    </row>
    <row r="5">
      <c r="A5" s="4" t="inlineStr">
        <is>
          <t>Motor</t>
        </is>
      </c>
      <c r="B5" s="4" t="inlineStr">
        <is>
          <t>EMAX 2216 KV880</t>
        </is>
      </c>
      <c r="C5" s="4" t="inlineStr">
        <is>
          <t>Max Thrust</t>
        </is>
      </c>
      <c r="D5" s="5" t="n">
        <v>850</v>
      </c>
      <c r="E5" s="5" t="inlineStr">
        <is>
          <t>g/motor</t>
        </is>
      </c>
      <c r="F5" s="5" t="n">
        <v>4</v>
      </c>
      <c r="G5" s="5" t="n">
        <v>240</v>
      </c>
    </row>
    <row r="6">
      <c r="A6" s="6" t="inlineStr">
        <is>
          <t>Motor</t>
        </is>
      </c>
      <c r="B6" s="6" t="inlineStr">
        <is>
          <t>EMAX 2216 KV880</t>
        </is>
      </c>
      <c r="C6" s="6" t="inlineStr">
        <is>
          <t>Max Current</t>
        </is>
      </c>
      <c r="D6" s="7" t="n">
        <v>22</v>
      </c>
      <c r="E6" s="7" t="inlineStr">
        <is>
          <t>A</t>
        </is>
      </c>
      <c r="F6" s="7" t="n">
        <v>4</v>
      </c>
      <c r="G6" s="7" t="inlineStr">
        <is>
          <t>—</t>
        </is>
      </c>
    </row>
    <row r="7">
      <c r="A7" s="4" t="inlineStr">
        <is>
          <t>ESC</t>
        </is>
      </c>
      <c r="B7" s="4" t="inlineStr">
        <is>
          <t>Hobbywing XRotor 30A OPTO</t>
        </is>
      </c>
      <c r="C7" s="4" t="inlineStr">
        <is>
          <t>Continuous Current</t>
        </is>
      </c>
      <c r="D7" s="5" t="n">
        <v>30</v>
      </c>
      <c r="E7" s="5" t="inlineStr">
        <is>
          <t>A</t>
        </is>
      </c>
      <c r="F7" s="5" t="n">
        <v>4</v>
      </c>
      <c r="G7" s="5" t="n">
        <v>88</v>
      </c>
    </row>
    <row r="8">
      <c r="A8" s="6" t="inlineStr">
        <is>
          <t>Propeller</t>
        </is>
      </c>
      <c r="B8" s="6" t="inlineStr">
        <is>
          <t>APC 10×4.5</t>
        </is>
      </c>
      <c r="C8" s="6" t="inlineStr">
        <is>
          <t>Diameter</t>
        </is>
      </c>
      <c r="D8" s="7" t="n">
        <v>10</v>
      </c>
      <c r="E8" s="7" t="inlineStr">
        <is>
          <t>inch</t>
        </is>
      </c>
      <c r="F8" s="7" t="n">
        <v>4</v>
      </c>
      <c r="G8" s="7" t="n">
        <v>60</v>
      </c>
    </row>
    <row r="9">
      <c r="A9" s="4" t="inlineStr">
        <is>
          <t>Battery</t>
        </is>
      </c>
      <c r="B9" s="4" t="inlineStr">
        <is>
          <t>Tattu 4S 5200mAh 45C</t>
        </is>
      </c>
      <c r="C9" s="4" t="inlineStr">
        <is>
          <t>Capacity</t>
        </is>
      </c>
      <c r="D9" s="5" t="n">
        <v>5200</v>
      </c>
      <c r="E9" s="5" t="inlineStr">
        <is>
          <t>mAh</t>
        </is>
      </c>
      <c r="F9" s="5" t="n">
        <v>1</v>
      </c>
      <c r="G9" s="5" t="n">
        <v>380</v>
      </c>
    </row>
    <row r="10">
      <c r="A10" s="6" t="inlineStr">
        <is>
          <t>Battery</t>
        </is>
      </c>
      <c r="B10" s="6" t="inlineStr">
        <is>
          <t>Tattu 4S 5200mAh 45C</t>
        </is>
      </c>
      <c r="C10" s="6" t="inlineStr">
        <is>
          <t>Voltage</t>
        </is>
      </c>
      <c r="D10" s="7" t="n">
        <v>14.8</v>
      </c>
      <c r="E10" s="7" t="inlineStr">
        <is>
          <t>V</t>
        </is>
      </c>
      <c r="F10" s="7" t="n">
        <v>1</v>
      </c>
      <c r="G10" s="7" t="inlineStr">
        <is>
          <t>—</t>
        </is>
      </c>
    </row>
    <row r="11">
      <c r="A11" s="4" t="inlineStr">
        <is>
          <t>Flight Controller</t>
        </is>
      </c>
      <c r="B11" s="4" t="inlineStr">
        <is>
          <t>Pixhawk 2.4.8</t>
        </is>
      </c>
      <c r="C11" s="4" t="inlineStr">
        <is>
          <t>Operating Voltage</t>
        </is>
      </c>
      <c r="D11" s="5" t="n">
        <v>5</v>
      </c>
      <c r="E11" s="5" t="inlineStr">
        <is>
          <t>V</t>
        </is>
      </c>
      <c r="F11" s="5" t="n">
        <v>1</v>
      </c>
      <c r="G11" s="5" t="n">
        <v>38</v>
      </c>
    </row>
    <row r="12">
      <c r="A12" s="6" t="inlineStr">
        <is>
          <t>GPS Module</t>
        </is>
      </c>
      <c r="B12" s="6" t="inlineStr">
        <is>
          <t>u-blox M8N</t>
        </is>
      </c>
      <c r="C12" s="6" t="inlineStr">
        <is>
          <t>Accuracy</t>
        </is>
      </c>
      <c r="D12" s="7" t="n">
        <v>1.5</v>
      </c>
      <c r="E12" s="7" t="inlineStr">
        <is>
          <t>m CEP</t>
        </is>
      </c>
      <c r="F12" s="7" t="n">
        <v>1</v>
      </c>
      <c r="G12" s="7" t="n">
        <v>15</v>
      </c>
    </row>
    <row r="13">
      <c r="A13" s="4" t="inlineStr">
        <is>
          <t>Companion CPU</t>
        </is>
      </c>
      <c r="B13" s="4" t="inlineStr">
        <is>
          <t>Raspberry Pi 4B</t>
        </is>
      </c>
      <c r="C13" s="4" t="inlineStr">
        <is>
          <t>RAM</t>
        </is>
      </c>
      <c r="D13" s="5" t="n">
        <v>4</v>
      </c>
      <c r="E13" s="5" t="inlineStr">
        <is>
          <t>GB</t>
        </is>
      </c>
      <c r="F13" s="5" t="n">
        <v>1</v>
      </c>
      <c r="G13" s="5" t="n">
        <v>46</v>
      </c>
    </row>
    <row r="14">
      <c r="A14" s="6" t="inlineStr">
        <is>
          <t>Camera</t>
        </is>
      </c>
      <c r="B14" s="6" t="inlineStr">
        <is>
          <t>Raspberry Pi Cam v2</t>
        </is>
      </c>
      <c r="C14" s="6" t="inlineStr">
        <is>
          <t>Resolution</t>
        </is>
      </c>
      <c r="D14" s="7" t="n">
        <v>8</v>
      </c>
      <c r="E14" s="7" t="inlineStr">
        <is>
          <t>MP</t>
        </is>
      </c>
      <c r="F14" s="7" t="n">
        <v>1</v>
      </c>
      <c r="G14" s="7" t="n">
        <v>25</v>
      </c>
    </row>
    <row r="15">
      <c r="A15" s="4" t="inlineStr">
        <is>
          <t>Frame</t>
        </is>
      </c>
      <c r="B15" s="4" t="inlineStr">
        <is>
          <t>F450 Carbon Fibre</t>
        </is>
      </c>
      <c r="C15" s="4" t="inlineStr">
        <is>
          <t>Motor-to-Motor</t>
        </is>
      </c>
      <c r="D15" s="5" t="n">
        <v>450</v>
      </c>
      <c r="E15" s="5" t="inlineStr">
        <is>
          <t>mm</t>
        </is>
      </c>
      <c r="F15" s="5" t="n">
        <v>1</v>
      </c>
      <c r="G15" s="5" t="n">
        <v>282</v>
      </c>
    </row>
    <row r="16">
      <c r="A16" s="8" t="inlineStr">
        <is>
          <t>TOTAL ALL-UP WEIGHT (AUW)</t>
        </is>
      </c>
      <c r="G16" s="9">
        <f>SUM(G5:G15)</f>
        <v/>
      </c>
    </row>
  </sheetData>
  <mergeCells count="3">
    <mergeCell ref="A16:F16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2" customWidth="1" min="4" max="4"/>
    <col width="35" customWidth="1" min="5" max="5"/>
  </cols>
  <sheetData>
    <row r="1" ht="30" customHeight="1">
      <c r="A1" s="1" t="inlineStr">
        <is>
          <t>AeroNavX — Propulsion System Calculations</t>
        </is>
      </c>
    </row>
    <row r="3" ht="24" customHeight="1">
      <c r="A3" s="3" t="inlineStr">
        <is>
          <t>Parameter</t>
        </is>
      </c>
      <c r="B3" s="3" t="inlineStr">
        <is>
          <t>Symbol</t>
        </is>
      </c>
      <c r="C3" s="3" t="inlineStr">
        <is>
          <t>Value</t>
        </is>
      </c>
      <c r="D3" s="3" t="inlineStr">
        <is>
          <t>Unit</t>
        </is>
      </c>
      <c r="E3" s="3" t="inlineStr">
        <is>
          <t>Notes</t>
        </is>
      </c>
    </row>
    <row r="4">
      <c r="A4" s="10" t="inlineStr">
        <is>
          <t>A. Thrust &amp; Weight Analysis</t>
        </is>
      </c>
    </row>
    <row r="5">
      <c r="A5" s="4" t="inlineStr">
        <is>
          <t>Single motor max thrust</t>
        </is>
      </c>
      <c r="B5" s="5" t="inlineStr">
        <is>
          <t>T₁</t>
        </is>
      </c>
      <c r="C5" s="5" t="n">
        <v>850</v>
      </c>
      <c r="D5" s="5" t="inlineStr">
        <is>
          <t>g</t>
        </is>
      </c>
      <c r="E5" s="4" t="inlineStr">
        <is>
          <t>EMAX 2216 KV880 @ full throttle, 10in prop</t>
        </is>
      </c>
    </row>
    <row r="6">
      <c r="A6" s="6" t="inlineStr">
        <is>
          <t>Number of motors</t>
        </is>
      </c>
      <c r="B6" s="7" t="inlineStr">
        <is>
          <t>n</t>
        </is>
      </c>
      <c r="C6" s="7" t="n">
        <v>4</v>
      </c>
      <c r="D6" s="7" t="inlineStr">
        <is>
          <t>—</t>
        </is>
      </c>
      <c r="E6" s="6" t="inlineStr">
        <is>
          <t>Quadcopter X-frame</t>
        </is>
      </c>
    </row>
    <row r="7">
      <c r="A7" s="4" t="inlineStr">
        <is>
          <t>Total system thrust</t>
        </is>
      </c>
      <c r="B7" s="5" t="inlineStr">
        <is>
          <t>T_tot</t>
        </is>
      </c>
      <c r="C7" s="11">
        <f>C5*C6</f>
        <v/>
      </c>
      <c r="D7" s="5" t="inlineStr">
        <is>
          <t>g</t>
        </is>
      </c>
      <c r="E7" s="4" t="inlineStr">
        <is>
          <t>T_tot = T₁ × n</t>
        </is>
      </c>
    </row>
    <row r="8">
      <c r="A8" s="6" t="inlineStr">
        <is>
          <t>All-Up Weight</t>
        </is>
      </c>
      <c r="B8" s="7" t="inlineStr">
        <is>
          <t>AUW</t>
        </is>
      </c>
      <c r="C8" s="7" t="n">
        <v>1450</v>
      </c>
      <c r="D8" s="7" t="inlineStr">
        <is>
          <t>g</t>
        </is>
      </c>
      <c r="E8" s="6" t="inlineStr">
        <is>
          <t>Frame + motors + ESC + battery + FC + camera</t>
        </is>
      </c>
    </row>
    <row r="9">
      <c r="A9" s="4" t="inlineStr">
        <is>
          <t>Thrust-to-Weight Ratio</t>
        </is>
      </c>
      <c r="B9" s="5" t="inlineStr">
        <is>
          <t>TWR</t>
        </is>
      </c>
      <c r="C9" s="11">
        <f>C7/C8</f>
        <v/>
      </c>
      <c r="D9" s="5" t="inlineStr">
        <is>
          <t>—</t>
        </is>
      </c>
      <c r="E9" s="4" t="inlineStr">
        <is>
          <t>TWR = T_tot / AUW  (minimum 2.0 required)</t>
        </is>
      </c>
    </row>
    <row r="10">
      <c r="A10" s="6" t="inlineStr">
        <is>
          <t>Hover Throttle %</t>
        </is>
      </c>
      <c r="B10" s="7" t="inlineStr">
        <is>
          <t>Θ_hover</t>
        </is>
      </c>
      <c r="C10" s="12">
        <f>1/C9*100</f>
        <v/>
      </c>
      <c r="D10" s="7" t="inlineStr">
        <is>
          <t>%</t>
        </is>
      </c>
      <c r="E10" s="6" t="inlineStr">
        <is>
          <t>Throttle needed to hover = 1/TWR × 100</t>
        </is>
      </c>
    </row>
    <row r="12">
      <c r="A12" s="10" t="inlineStr">
        <is>
          <t>B. Current Draw Analysis</t>
        </is>
      </c>
    </row>
    <row r="13">
      <c r="A13" s="4" t="inlineStr">
        <is>
          <t>Current @ idle</t>
        </is>
      </c>
      <c r="B13" s="5" t="inlineStr">
        <is>
          <t>I_idle</t>
        </is>
      </c>
      <c r="C13" s="5" t="n">
        <v>1</v>
      </c>
      <c r="D13" s="5" t="inlineStr">
        <is>
          <t>A/motor</t>
        </is>
      </c>
      <c r="E13" s="4" t="inlineStr">
        <is>
          <t>Spinning, no load</t>
        </is>
      </c>
    </row>
    <row r="14">
      <c r="A14" s="6" t="inlineStr">
        <is>
          <t>Current @ hover (42%)</t>
        </is>
      </c>
      <c r="B14" s="7" t="inlineStr">
        <is>
          <t>I_hover</t>
        </is>
      </c>
      <c r="C14" s="7" t="n">
        <v>6</v>
      </c>
      <c r="D14" s="7" t="inlineStr">
        <is>
          <t>A/motor</t>
        </is>
      </c>
      <c r="E14" s="6" t="inlineStr">
        <is>
          <t>Per motor at hover throttle</t>
        </is>
      </c>
    </row>
    <row r="15">
      <c r="A15" s="4" t="inlineStr">
        <is>
          <t>Current @ cruise (60%)</t>
        </is>
      </c>
      <c r="B15" s="5" t="inlineStr">
        <is>
          <t>I_cruise</t>
        </is>
      </c>
      <c r="C15" s="5" t="n">
        <v>10</v>
      </c>
      <c r="D15" s="5" t="inlineStr">
        <is>
          <t>A/motor</t>
        </is>
      </c>
      <c r="E15" s="4" t="inlineStr">
        <is>
          <t>Typical forward flight</t>
        </is>
      </c>
    </row>
    <row r="16">
      <c r="A16" s="6" t="inlineStr">
        <is>
          <t>Current @ full throttle</t>
        </is>
      </c>
      <c r="B16" s="7" t="inlineStr">
        <is>
          <t>I_max</t>
        </is>
      </c>
      <c r="C16" s="7" t="n">
        <v>22</v>
      </c>
      <c r="D16" s="7" t="inlineStr">
        <is>
          <t>A/motor</t>
        </is>
      </c>
      <c r="E16" s="6" t="inlineStr">
        <is>
          <t>Max rated current</t>
        </is>
      </c>
    </row>
    <row r="17">
      <c r="A17" s="4" t="inlineStr">
        <is>
          <t>Total current — hover</t>
        </is>
      </c>
      <c r="B17" s="5" t="inlineStr">
        <is>
          <t>I_tot_h</t>
        </is>
      </c>
      <c r="C17" s="5">
        <f>C14*4</f>
        <v/>
      </c>
      <c r="D17" s="5" t="inlineStr">
        <is>
          <t>A</t>
        </is>
      </c>
      <c r="E17" s="4" t="inlineStr">
        <is>
          <t>I_hover × 4 motors</t>
        </is>
      </c>
    </row>
    <row r="18">
      <c r="A18" s="6" t="inlineStr">
        <is>
          <t>Total current — cruise</t>
        </is>
      </c>
      <c r="B18" s="7" t="inlineStr">
        <is>
          <t>I_tot_c</t>
        </is>
      </c>
      <c r="C18" s="7">
        <f>C15*4</f>
        <v/>
      </c>
      <c r="D18" s="7" t="inlineStr">
        <is>
          <t>A</t>
        </is>
      </c>
      <c r="E18" s="6" t="inlineStr">
        <is>
          <t>I_cruise × 4 motors</t>
        </is>
      </c>
    </row>
    <row r="19">
      <c r="A19" s="4" t="inlineStr">
        <is>
          <t>Total current — max</t>
        </is>
      </c>
      <c r="B19" s="5" t="inlineStr">
        <is>
          <t>I_tot_m</t>
        </is>
      </c>
      <c r="C19" s="5">
        <f>C16*4</f>
        <v/>
      </c>
      <c r="D19" s="5" t="inlineStr">
        <is>
          <t>A</t>
        </is>
      </c>
      <c r="E19" s="4" t="inlineStr">
        <is>
          <t>I_max × 4 motors</t>
        </is>
      </c>
    </row>
    <row r="20">
      <c r="A20" s="6" t="inlineStr">
        <is>
          <t>ESC rating</t>
        </is>
      </c>
      <c r="B20" s="7" t="inlineStr">
        <is>
          <t>ESC</t>
        </is>
      </c>
      <c r="C20" s="7" t="n">
        <v>30</v>
      </c>
      <c r="D20" s="7" t="inlineStr">
        <is>
          <t>A</t>
        </is>
      </c>
      <c r="E20" s="6" t="inlineStr">
        <is>
          <t>Hobbywing XRotor 30A — safe margin above hover</t>
        </is>
      </c>
    </row>
    <row r="22">
      <c r="A22" s="10" t="inlineStr">
        <is>
          <t>C. Battery &amp; Flight Time</t>
        </is>
      </c>
    </row>
    <row r="23">
      <c r="A23" s="4" t="inlineStr">
        <is>
          <t>Battery capacity</t>
        </is>
      </c>
      <c r="B23" s="5" t="inlineStr">
        <is>
          <t>C_bat</t>
        </is>
      </c>
      <c r="C23" s="5" t="n">
        <v>5200</v>
      </c>
      <c r="D23" s="5" t="inlineStr">
        <is>
          <t>mAh</t>
        </is>
      </c>
      <c r="E23" s="4" t="inlineStr">
        <is>
          <t>Tattu 4S 5200mAh</t>
        </is>
      </c>
    </row>
    <row r="24">
      <c r="A24" s="6" t="inlineStr">
        <is>
          <t>Usable capacity (80% rule)</t>
        </is>
      </c>
      <c r="B24" s="7" t="inlineStr">
        <is>
          <t>C_use</t>
        </is>
      </c>
      <c r="C24" s="13">
        <f>C23*0.8</f>
        <v/>
      </c>
      <c r="D24" s="7" t="inlineStr">
        <is>
          <t>mAh</t>
        </is>
      </c>
      <c r="E24" s="6" t="inlineStr">
        <is>
          <t>80% discharge limit for battery longevity</t>
        </is>
      </c>
    </row>
    <row r="25">
      <c r="A25" s="4" t="inlineStr">
        <is>
          <t>Avg current — hover mission</t>
        </is>
      </c>
      <c r="B25" s="5" t="inlineStr">
        <is>
          <t>I_avg_h</t>
        </is>
      </c>
      <c r="C25" s="5" t="n">
        <v>24</v>
      </c>
      <c r="D25" s="5" t="inlineStr">
        <is>
          <t>A</t>
        </is>
      </c>
      <c r="E25" s="4" t="inlineStr">
        <is>
          <t>All 4 motors at hover</t>
        </is>
      </c>
    </row>
    <row r="26">
      <c r="A26" s="6" t="inlineStr">
        <is>
          <t>Avg current — mixed mission</t>
        </is>
      </c>
      <c r="B26" s="7" t="inlineStr">
        <is>
          <t>I_avg_m</t>
        </is>
      </c>
      <c r="C26" s="7" t="n">
        <v>18</v>
      </c>
      <c r="D26" s="7" t="inlineStr">
        <is>
          <t>A</t>
        </is>
      </c>
      <c r="E26" s="6" t="inlineStr">
        <is>
          <t>Typical autonomous waypoint flight</t>
        </is>
      </c>
    </row>
    <row r="27">
      <c r="A27" s="4" t="inlineStr">
        <is>
          <t>Avg current — gentle cruise</t>
        </is>
      </c>
      <c r="B27" s="5" t="inlineStr">
        <is>
          <t>I_avg_c</t>
        </is>
      </c>
      <c r="C27" s="5" t="n">
        <v>14</v>
      </c>
      <c r="D27" s="5" t="inlineStr">
        <is>
          <t>A</t>
        </is>
      </c>
      <c r="E27" s="4" t="inlineStr">
        <is>
          <t>Low throttle cruise</t>
        </is>
      </c>
    </row>
    <row r="28">
      <c r="A28" s="6" t="inlineStr">
        <is>
          <t>Flight time — hover</t>
        </is>
      </c>
      <c r="B28" s="7" t="inlineStr">
        <is>
          <t>t_h</t>
        </is>
      </c>
      <c r="C28" s="13">
        <f>C24/C25/60*60</f>
        <v/>
      </c>
      <c r="D28" s="7" t="inlineStr">
        <is>
          <t>min</t>
        </is>
      </c>
      <c r="E28" s="6" t="inlineStr">
        <is>
          <t>(C_use/I_avg) × 60</t>
        </is>
      </c>
    </row>
    <row r="29">
      <c r="A29" s="4" t="inlineStr">
        <is>
          <t>Flight time — mixed mission</t>
        </is>
      </c>
      <c r="B29" s="5" t="inlineStr">
        <is>
          <t>t_m</t>
        </is>
      </c>
      <c r="C29" s="14">
        <f>C24/C26/60*60</f>
        <v/>
      </c>
      <c r="D29" s="5" t="inlineStr">
        <is>
          <t>min</t>
        </is>
      </c>
      <c r="E29" s="4" t="inlineStr">
        <is>
          <t>Recommended operating mode</t>
        </is>
      </c>
    </row>
    <row r="30">
      <c r="A30" s="6" t="inlineStr">
        <is>
          <t>Flight time — gentle cruise</t>
        </is>
      </c>
      <c r="B30" s="7" t="inlineStr">
        <is>
          <t>t_c</t>
        </is>
      </c>
      <c r="C30" s="13">
        <f>C24/C27/60*60</f>
        <v/>
      </c>
      <c r="D30" s="7" t="inlineStr">
        <is>
          <t>min</t>
        </is>
      </c>
      <c r="E30" s="6" t="inlineStr">
        <is>
          <t>Best-case endurance</t>
        </is>
      </c>
    </row>
    <row r="31">
      <c r="A31" s="4" t="inlineStr">
        <is>
          <t>System voltage</t>
        </is>
      </c>
      <c r="B31" s="5" t="inlineStr">
        <is>
          <t>V_sys</t>
        </is>
      </c>
      <c r="C31" s="5" t="n">
        <v>14.8</v>
      </c>
      <c r="D31" s="5" t="inlineStr">
        <is>
          <t>V</t>
        </is>
      </c>
      <c r="E31" s="4" t="inlineStr">
        <is>
          <t>4S LiPo nominal</t>
        </is>
      </c>
    </row>
    <row r="32">
      <c r="A32" s="6" t="inlineStr">
        <is>
          <t>Power at hover</t>
        </is>
      </c>
      <c r="B32" s="7" t="inlineStr">
        <is>
          <t>P_hov</t>
        </is>
      </c>
      <c r="C32" s="13">
        <f>C25*C31</f>
        <v/>
      </c>
      <c r="D32" s="7" t="inlineStr">
        <is>
          <t>W</t>
        </is>
      </c>
      <c r="E32" s="6" t="inlineStr">
        <is>
          <t>P = I × V</t>
        </is>
      </c>
    </row>
  </sheetData>
  <mergeCells count="4">
    <mergeCell ref="A22:E22"/>
    <mergeCell ref="A1:E1"/>
    <mergeCell ref="A4:E4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 ht="30" customHeight="1">
      <c r="A1" s="1" t="inlineStr">
        <is>
          <t>AeroNavX — Propulsion Summary Dashboard</t>
        </is>
      </c>
    </row>
    <row r="3">
      <c r="A3" s="10" t="inlineStr">
        <is>
          <t>THRUST &amp; WEIGHT</t>
        </is>
      </c>
    </row>
    <row r="4">
      <c r="A4" s="4" t="inlineStr">
        <is>
          <t>Total Thrust</t>
        </is>
      </c>
      <c r="B4" s="15" t="inlineStr">
        <is>
          <t>3400 g</t>
        </is>
      </c>
      <c r="C4" s="4" t="inlineStr">
        <is>
          <t>4 × 850g motors</t>
        </is>
      </c>
    </row>
    <row r="5">
      <c r="A5" s="6" t="inlineStr">
        <is>
          <t>All-Up Weight</t>
        </is>
      </c>
      <c r="B5" s="16" t="inlineStr">
        <is>
          <t>1450 g</t>
        </is>
      </c>
      <c r="C5" s="6" t="inlineStr">
        <is>
          <t>Fully equipped</t>
        </is>
      </c>
    </row>
    <row r="6">
      <c r="A6" s="17" t="inlineStr">
        <is>
          <t>TWR</t>
        </is>
      </c>
      <c r="B6" s="18" t="inlineStr">
        <is>
          <t>2.34 : 1</t>
        </is>
      </c>
      <c r="C6" s="17" t="inlineStr">
        <is>
          <t>Exceeds 2.0 minimum ✓</t>
        </is>
      </c>
    </row>
    <row r="7">
      <c r="A7" s="17" t="inlineStr">
        <is>
          <t>Hover Throttle</t>
        </is>
      </c>
      <c r="B7" s="18" t="inlineStr">
        <is>
          <t>~42.6%</t>
        </is>
      </c>
      <c r="C7" s="17" t="inlineStr">
        <is>
          <t>Efficient mid-range ✓</t>
        </is>
      </c>
    </row>
    <row r="8">
      <c r="A8" s="10" t="inlineStr">
        <is>
          <t>POWER &amp; CURRENT</t>
        </is>
      </c>
    </row>
    <row r="9">
      <c r="A9" s="6" t="inlineStr">
        <is>
          <t>Hover Current</t>
        </is>
      </c>
      <c r="B9" s="16" t="inlineStr">
        <is>
          <t>24 A</t>
        </is>
      </c>
      <c r="C9" s="6" t="inlineStr">
        <is>
          <t>Total, all motors</t>
        </is>
      </c>
    </row>
    <row r="10">
      <c r="A10" s="17" t="inlineStr">
        <is>
          <t>ESC Rating</t>
        </is>
      </c>
      <c r="B10" s="18" t="inlineStr">
        <is>
          <t>30 A</t>
        </is>
      </c>
      <c r="C10" s="17" t="inlineStr">
        <is>
          <t>Per ESC — safe margin ✓</t>
        </is>
      </c>
    </row>
    <row r="11">
      <c r="A11" s="6" t="inlineStr">
        <is>
          <t>Battery Voltage</t>
        </is>
      </c>
      <c r="B11" s="16" t="inlineStr">
        <is>
          <t>14.8 V</t>
        </is>
      </c>
      <c r="C11" s="6" t="inlineStr">
        <is>
          <t>4S LiPo</t>
        </is>
      </c>
    </row>
    <row r="12">
      <c r="A12" s="4" t="inlineStr">
        <is>
          <t>Hover Power</t>
        </is>
      </c>
      <c r="B12" s="15" t="inlineStr">
        <is>
          <t>355 W</t>
        </is>
      </c>
      <c r="C12" s="4" t="inlineStr">
        <is>
          <t>P = 24A × 14.8V</t>
        </is>
      </c>
    </row>
    <row r="13">
      <c r="A13" s="10" t="inlineStr">
        <is>
          <t>FLIGHT TIME</t>
        </is>
      </c>
    </row>
    <row r="14">
      <c r="A14" s="4" t="inlineStr">
        <is>
          <t>Hover Only</t>
        </is>
      </c>
      <c r="B14" s="15" t="inlineStr">
        <is>
          <t>~10.4 min</t>
        </is>
      </c>
      <c r="C14" s="4" t="inlineStr">
        <is>
          <t>Conservative estimate</t>
        </is>
      </c>
    </row>
    <row r="15">
      <c r="A15" s="6" t="inlineStr">
        <is>
          <t>Mixed Mission</t>
        </is>
      </c>
      <c r="B15" s="16" t="inlineStr">
        <is>
          <t>~13.9 min</t>
        </is>
      </c>
      <c r="C15" s="6" t="inlineStr">
        <is>
          <t>Recommended target</t>
        </is>
      </c>
    </row>
    <row r="16">
      <c r="A16" s="4" t="inlineStr">
        <is>
          <t>Gentle Cruise</t>
        </is>
      </c>
      <c r="B16" s="15" t="inlineStr">
        <is>
          <t>~17.8 min</t>
        </is>
      </c>
      <c r="C16" s="4" t="inlineStr">
        <is>
          <t>Best endurance</t>
        </is>
      </c>
    </row>
    <row r="17">
      <c r="A17" s="10" t="inlineStr">
        <is>
          <t>WEIGHT BUDGET</t>
        </is>
      </c>
    </row>
    <row r="18">
      <c r="A18" s="4" t="inlineStr">
        <is>
          <t>Frame</t>
        </is>
      </c>
      <c r="B18" s="15" t="inlineStr">
        <is>
          <t>282 g</t>
        </is>
      </c>
      <c r="C18" s="4" t="inlineStr">
        <is>
          <t>F450 carbon</t>
        </is>
      </c>
    </row>
    <row r="19">
      <c r="A19" s="6" t="inlineStr">
        <is>
          <t>Motors × 4</t>
        </is>
      </c>
      <c r="B19" s="16" t="inlineStr">
        <is>
          <t>240 g</t>
        </is>
      </c>
      <c r="C19" s="6" t="inlineStr">
        <is>
          <t>EMAX 2216</t>
        </is>
      </c>
    </row>
    <row r="20">
      <c r="A20" s="4" t="inlineStr">
        <is>
          <t>ESCs × 4</t>
        </is>
      </c>
      <c r="B20" s="15" t="inlineStr">
        <is>
          <t>88 g</t>
        </is>
      </c>
      <c r="C20" s="4" t="inlineStr">
        <is>
          <t>Hobbywing 30A</t>
        </is>
      </c>
    </row>
    <row r="21">
      <c r="A21" s="6" t="inlineStr">
        <is>
          <t>Battery</t>
        </is>
      </c>
      <c r="B21" s="16" t="inlineStr">
        <is>
          <t>380 g</t>
        </is>
      </c>
      <c r="C21" s="6" t="inlineStr">
        <is>
          <t>Tattu 5200mAh</t>
        </is>
      </c>
    </row>
    <row r="22">
      <c r="A22" s="4" t="inlineStr">
        <is>
          <t>FC + GPS + CPU</t>
        </is>
      </c>
      <c r="B22" s="15" t="inlineStr">
        <is>
          <t>99 g</t>
        </is>
      </c>
      <c r="C22" s="4" t="inlineStr">
        <is>
          <t>Pixhawk + M8N + RPi4</t>
        </is>
      </c>
    </row>
    <row r="23">
      <c r="A23" s="6" t="inlineStr">
        <is>
          <t>Props + Camera</t>
        </is>
      </c>
      <c r="B23" s="16" t="inlineStr">
        <is>
          <t>85 g</t>
        </is>
      </c>
      <c r="C23" s="6" t="inlineStr">
        <is>
          <t>APC 10in + Cam</t>
        </is>
      </c>
    </row>
    <row r="24">
      <c r="A24" s="4" t="inlineStr">
        <is>
          <t>Wiring &amp; Misc</t>
        </is>
      </c>
      <c r="B24" s="15" t="inlineStr">
        <is>
          <t>76 g</t>
        </is>
      </c>
      <c r="C24" s="4" t="inlineStr">
        <is>
          <t>Estimated</t>
        </is>
      </c>
    </row>
    <row r="25">
      <c r="A25" s="17" t="inlineStr">
        <is>
          <t>TOTAL AUW</t>
        </is>
      </c>
      <c r="B25" s="18" t="inlineStr">
        <is>
          <t>1250 g</t>
        </is>
      </c>
      <c r="C25" s="17" t="inlineStr">
        <is>
          <t>Under 1.45 kg budget ✓</t>
        </is>
      </c>
    </row>
  </sheetData>
  <mergeCells count="5">
    <mergeCell ref="A13:C13"/>
    <mergeCell ref="A1:C1"/>
    <mergeCell ref="A8:C8"/>
    <mergeCell ref="A17:C1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2026-04-25T09:40:21Z</dcterms:created>
  <dcterms:modified xmlns:dcterms="http://purl.org/dc/terms/" xmlns:xsi="http://www.w3.org/2001/XMLSchema-instance" xsi:type="dcterms:W3CDTF">2026-04-25T09:40:21Z</dcterms:modified>
</cp:coreProperties>
</file>